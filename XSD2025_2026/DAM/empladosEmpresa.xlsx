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mpuscamarasevilla-my.sharepoint.com/personal/willman_acosta_campuscamarasevilla_onmicrosoft_com/Documents/Documentos/2025_2026/LDM/LMSGI/XSD2025_2026/DAM/"/>
    </mc:Choice>
  </mc:AlternateContent>
  <xr:revisionPtr revIDLastSave="1" documentId="11_E75745071E43C9D64BBEDE4A7C9DA1DB7041F65F" xr6:coauthVersionLast="47" xr6:coauthVersionMax="47" xr10:uidLastSave="{7EFC4ABA-7E3A-4FBE-9F27-44A22E164EDD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<sst xmlns="http://schemas.openxmlformats.org/spreadsheetml/2006/main" count="6" uniqueCount="6">
  <si>
    <t>Número</t>
  </si>
  <si>
    <t>Nombre</t>
  </si>
  <si>
    <t>Apellido</t>
  </si>
  <si>
    <t>Edad</t>
  </si>
  <si>
    <t xml:space="preserve">Departamento 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</si>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</sst>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F13" sqref="F13"/>
    </sheetView>
  </sheetViews>
  <sheetFormatPr baseColWidth="10" defaultColWidth="12.5703125" defaultRowHeight="15.75" customHeight="1" x14ac:dyDescent="0.2"/>
  <cols>
    <col min="5" max="5" width="14.85546875" customWidth="1"/>
    <col min="6" max="6" width="26.710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3" t="str">
        <f ca="1">IFERROR(__xludf.DUMMYFUNCTION("IMPORTXML(""https://raw.githubusercontent.com/willeusa/LMSGI/refs/heads/main/XSD2025_2026/DAM/empleados.xml"", ""//empleado"")"),"Ana")</f>
        <v>Ana</v>
      </c>
      <c r="C2" s="3" t="str">
        <f ca="1">IFERROR(__xludf.DUMMYFUNCTION("""COMPUTED_VALUE"""),"García")</f>
        <v>García</v>
      </c>
      <c r="D2" s="2">
        <f ca="1">IFERROR(__xludf.DUMMYFUNCTION("""COMPUTED_VALUE"""),30)</f>
        <v>30</v>
      </c>
      <c r="E2" s="3" t="str">
        <f ca="1">IFERROR(__xludf.DUMMYFUNCTION("""COMPUTED_VALUE"""),"Ventas")</f>
        <v>Ventas</v>
      </c>
      <c r="F2" s="3" t="str">
        <f ca="1">IFERROR(__xludf.DUMMYFUNCTION("""COMPUTED_VALUE"""),"Ejecutivo de ventas")</f>
        <v>Ejecutivo de ventas</v>
      </c>
    </row>
    <row r="3" spans="1:6" x14ac:dyDescent="0.2">
      <c r="A3" s="2">
        <v>2</v>
      </c>
      <c r="B3" s="3" t="str">
        <f ca="1">IFERROR(__xludf.DUMMYFUNCTION("""COMPUTED_VALUE"""),"Luis")</f>
        <v>Luis</v>
      </c>
      <c r="C3" s="3" t="str">
        <f ca="1">IFERROR(__xludf.DUMMYFUNCTION("""COMPUTED_VALUE"""),"Rodríguez")</f>
        <v>Rodríguez</v>
      </c>
      <c r="D3" s="2">
        <f ca="1">IFERROR(__xludf.DUMMYFUNCTION("""COMPUTED_VALUE"""),45)</f>
        <v>45</v>
      </c>
      <c r="E3" s="3" t="str">
        <f ca="1">IFERROR(__xludf.DUMMYFUNCTION("""COMPUTED_VALUE"""),"Finanzas")</f>
        <v>Finanzas</v>
      </c>
      <c r="F3" s="3" t="str">
        <f ca="1">IFERROR(__xludf.DUMMYFUNCTION("""COMPUTED_VALUE"""),"Analista financiero")</f>
        <v>Analista financiero</v>
      </c>
    </row>
    <row r="4" spans="1:6" x14ac:dyDescent="0.2">
      <c r="A4" s="2">
        <v>3</v>
      </c>
      <c r="B4" s="3" t="str">
        <f ca="1">IFERROR(__xludf.DUMMYFUNCTION("""COMPUTED_VALUE"""),"María")</f>
        <v>María</v>
      </c>
      <c r="C4" s="3" t="str">
        <f ca="1">IFERROR(__xludf.DUMMYFUNCTION("""COMPUTED_VALUE"""),"López")</f>
        <v>López</v>
      </c>
      <c r="D4" s="2">
        <f ca="1">IFERROR(__xludf.DUMMYFUNCTION("""COMPUTED_VALUE"""),28)</f>
        <v>28</v>
      </c>
      <c r="E4" s="3" t="str">
        <f ca="1">IFERROR(__xludf.DUMMYFUNCTION("""COMPUTED_VALUE"""),"Marketing")</f>
        <v>Marketing</v>
      </c>
      <c r="F4" s="3" t="str">
        <f ca="1">IFERROR(__xludf.DUMMYFUNCTION("""COMPUTED_VALUE"""),"Especialista en redes sociales")</f>
        <v>Especialista en redes sociales</v>
      </c>
    </row>
    <row r="5" spans="1:6" x14ac:dyDescent="0.2">
      <c r="A5" s="2">
        <v>4</v>
      </c>
      <c r="B5" s="3" t="str">
        <f ca="1">IFERROR(__xludf.DUMMYFUNCTION("""COMPUTED_VALUE"""),"Carlos")</f>
        <v>Carlos</v>
      </c>
      <c r="C5" s="3" t="str">
        <f ca="1">IFERROR(__xludf.DUMMYFUNCTION("""COMPUTED_VALUE"""),"Ruiz")</f>
        <v>Ruiz</v>
      </c>
      <c r="D5" s="2">
        <f ca="1">IFERROR(__xludf.DUMMYFUNCTION("""COMPUTED_VALUE"""),34)</f>
        <v>34</v>
      </c>
      <c r="E5" s="3" t="str">
        <f ca="1">IFERROR(__xludf.DUMMYFUNCTION("""COMPUTED_VALUE"""),"Sistemas")</f>
        <v>Sistemas</v>
      </c>
      <c r="F5" s="3" t="str">
        <f ca="1">IFERROR(__xludf.DUMMYFUNCTION("""COMPUTED_VALUE"""),"Administrador de redes")</f>
        <v>Administrador de redes</v>
      </c>
    </row>
    <row r="6" spans="1:6" x14ac:dyDescent="0.2">
      <c r="A6" s="2">
        <v>5</v>
      </c>
      <c r="B6" s="3" t="str">
        <f ca="1">IFERROR(__xludf.DUMMYFUNCTION("""COMPUTED_VALUE"""),"Elena")</f>
        <v>Elena</v>
      </c>
      <c r="C6" s="3" t="str">
        <f ca="1">IFERROR(__xludf.DUMMYFUNCTION("""COMPUTED_VALUE"""),"Sanz")</f>
        <v>Sanz</v>
      </c>
      <c r="D6" s="2">
        <f ca="1">IFERROR(__xludf.DUMMYFUNCTION("""COMPUTED_VALUE"""),41)</f>
        <v>41</v>
      </c>
      <c r="E6" s="3" t="str">
        <f ca="1">IFERROR(__xludf.DUMMYFUNCTION("""COMPUTED_VALUE"""),"RRHH")</f>
        <v>RRHH</v>
      </c>
      <c r="F6" s="3" t="str">
        <f ca="1">IFERROR(__xludf.DUMMYFUNCTION("""COMPUTED_VALUE"""),"Responsable de talento")</f>
        <v>Responsable de talento</v>
      </c>
    </row>
    <row r="7" spans="1:6" x14ac:dyDescent="0.2">
      <c r="A7" s="2">
        <v>6</v>
      </c>
      <c r="B7" s="3" t="str">
        <f ca="1">IFERROR(__xludf.DUMMYFUNCTION("""COMPUTED_VALUE"""),"Javier")</f>
        <v>Javier</v>
      </c>
      <c r="C7" s="3" t="str">
        <f ca="1">IFERROR(__xludf.DUMMYFUNCTION("""COMPUTED_VALUE"""),"Martín")</f>
        <v>Martín</v>
      </c>
      <c r="D7" s="2">
        <f ca="1">IFERROR(__xludf.DUMMYFUNCTION("""COMPUTED_VALUE"""),29)</f>
        <v>29</v>
      </c>
      <c r="E7" s="3" t="str">
        <f ca="1">IFERROR(__xludf.DUMMYFUNCTION("""COMPUTED_VALUE"""),"Ventas")</f>
        <v>Ventas</v>
      </c>
      <c r="F7" s="3" t="str">
        <f ca="1">IFERROR(__xludf.DUMMYFUNCTION("""COMPUTED_VALUE"""),"Comercial junior")</f>
        <v>Comercial junior</v>
      </c>
    </row>
    <row r="8" spans="1:6" x14ac:dyDescent="0.2">
      <c r="A8" s="2">
        <v>7</v>
      </c>
      <c r="B8" s="3" t="str">
        <f ca="1">IFERROR(__xludf.DUMMYFUNCTION("""COMPUTED_VALUE"""),"Sofía")</f>
        <v>Sofía</v>
      </c>
      <c r="C8" s="3" t="str">
        <f ca="1">IFERROR(__xludf.DUMMYFUNCTION("""COMPUTED_VALUE"""),"Castro")</f>
        <v>Castro</v>
      </c>
      <c r="D8" s="2">
        <f ca="1">IFERROR(__xludf.DUMMYFUNCTION("""COMPUTED_VALUE"""),37)</f>
        <v>37</v>
      </c>
      <c r="E8" s="3" t="str">
        <f ca="1">IFERROR(__xludf.DUMMYFUNCTION("""COMPUTED_VALUE"""),"I+D")</f>
        <v>I+D</v>
      </c>
      <c r="F8" s="3" t="str">
        <f ca="1">IFERROR(__xludf.DUMMYFUNCTION("""COMPUTED_VALUE"""),"Ingeniera de software")</f>
        <v>Ingeniera de software</v>
      </c>
    </row>
    <row r="9" spans="1:6" x14ac:dyDescent="0.2">
      <c r="A9" s="2">
        <v>8</v>
      </c>
      <c r="B9" s="3" t="str">
        <f ca="1">IFERROR(__xludf.DUMMYFUNCTION("""COMPUTED_VALUE"""),"Pablo")</f>
        <v>Pablo</v>
      </c>
      <c r="C9" s="3" t="str">
        <f ca="1">IFERROR(__xludf.DUMMYFUNCTION("""COMPUTED_VALUE"""),"Gómez")</f>
        <v>Gómez</v>
      </c>
      <c r="D9" s="2">
        <f ca="1">IFERROR(__xludf.DUMMYFUNCTION("""COMPUTED_VALUE"""),50)</f>
        <v>50</v>
      </c>
      <c r="E9" s="3" t="str">
        <f ca="1">IFERROR(__xludf.DUMMYFUNCTION("""COMPUTED_VALUE"""),"Logística")</f>
        <v>Logística</v>
      </c>
      <c r="F9" s="3" t="str">
        <f ca="1">IFERROR(__xludf.DUMMYFUNCTION("""COMPUTED_VALUE"""),"Jefe de almacén")</f>
        <v>Jefe de almacén</v>
      </c>
    </row>
    <row r="10" spans="1:6" x14ac:dyDescent="0.2">
      <c r="A10" s="2">
        <v>9</v>
      </c>
      <c r="B10" s="3" t="str">
        <f ca="1">IFERROR(__xludf.DUMMYFUNCTION("""COMPUTED_VALUE"""),"Lucía")</f>
        <v>Lucía</v>
      </c>
      <c r="C10" s="3" t="str">
        <f ca="1">IFERROR(__xludf.DUMMYFUNCTION("""COMPUTED_VALUE"""),"Fernández")</f>
        <v>Fernández</v>
      </c>
      <c r="D10" s="2">
        <f ca="1">IFERROR(__xludf.DUMMYFUNCTION("""COMPUTED_VALUE"""),26)</f>
        <v>26</v>
      </c>
      <c r="E10" s="3" t="str">
        <f ca="1">IFERROR(__xludf.DUMMYFUNCTION("""COMPUTED_VALUE"""),"Marketing")</f>
        <v>Marketing</v>
      </c>
      <c r="F10" s="3" t="str">
        <f ca="1">IFERROR(__xludf.DUMMYFUNCTION("""COMPUTED_VALUE"""),"Diseñadora gráfica")</f>
        <v>Diseñadora gráfica</v>
      </c>
    </row>
    <row r="11" spans="1:6" x14ac:dyDescent="0.2">
      <c r="A11" s="2">
        <v>10</v>
      </c>
      <c r="B11" s="3" t="str">
        <f ca="1">IFERROR(__xludf.DUMMYFUNCTION("""COMPUTED_VALUE"""),"Antonio")</f>
        <v>Antonio</v>
      </c>
      <c r="C11" s="3" t="str">
        <f ca="1">IFERROR(__xludf.DUMMYFUNCTION("""COMPUTED_VALUE"""),"Vázquez")</f>
        <v>Vázquez</v>
      </c>
      <c r="D11" s="2">
        <f ca="1">IFERROR(__xludf.DUMMYFUNCTION("""COMPUTED_VALUE"""),44)</f>
        <v>44</v>
      </c>
      <c r="E11" s="3" t="str">
        <f ca="1">IFERROR(__xludf.DUMMYFUNCTION("""COMPUTED_VALUE"""),"Finanzas")</f>
        <v>Finanzas</v>
      </c>
      <c r="F11" s="3" t="str">
        <f ca="1">IFERROR(__xludf.DUMMYFUNCTION("""COMPUTED_VALUE"""),"Contable")</f>
        <v>Contable</v>
      </c>
    </row>
    <row r="12" spans="1:6" x14ac:dyDescent="0.2">
      <c r="A12" s="2">
        <v>11</v>
      </c>
      <c r="B12" s="3" t="str">
        <f ca="1">IFERROR(__xludf.DUMMYFUNCTION("""COMPUTED_VALUE"""),"Marta")</f>
        <v>Marta</v>
      </c>
      <c r="C12" s="3" t="str">
        <f ca="1">IFERROR(__xludf.DUMMYFUNCTION("""COMPUTED_VALUE"""),"Jiménez")</f>
        <v>Jiménez</v>
      </c>
      <c r="D12" s="2">
        <f ca="1">IFERROR(__xludf.DUMMYFUNCTION("""COMPUTED_VALUE"""),32)</f>
        <v>32</v>
      </c>
      <c r="E12" s="3" t="str">
        <f ca="1">IFERROR(__xludf.DUMMYFUNCTION("""COMPUTED_VALUE"""),"Sistemas")</f>
        <v>Sistemas</v>
      </c>
      <c r="F12" s="3" t="str">
        <f ca="1">IFERROR(__xludf.DUMMYFUNCTION("""COMPUTED_VALUE"""),"Analista de datos")</f>
        <v>Analista de datos</v>
      </c>
    </row>
    <row r="13" spans="1:6" x14ac:dyDescent="0.2">
      <c r="A13" s="2">
        <v>12</v>
      </c>
      <c r="B13" s="3" t="str">
        <f ca="1">IFERROR(__xludf.DUMMYFUNCTION("""COMPUTED_VALUE"""),"Raúl")</f>
        <v>Raúl</v>
      </c>
      <c r="C13" s="3" t="str">
        <f ca="1">IFERROR(__xludf.DUMMYFUNCTION("""COMPUTED_VALUE"""),"Pérez")</f>
        <v>Pérez</v>
      </c>
      <c r="D13" s="2">
        <f ca="1">IFERROR(__xludf.DUMMYFUNCTION("""COMPUTED_VALUE"""),39)</f>
        <v>39</v>
      </c>
      <c r="E13" s="3" t="str">
        <f ca="1">IFERROR(__xludf.DUMMYFUNCTION("""COMPUTED_VALUE"""),"Dirección")</f>
        <v>Dirección</v>
      </c>
      <c r="F13" s="3" t="str">
        <f ca="1">IFERROR(__xludf.DUMMYFUNCTION("""COMPUTED_VALUE"""),"Director general")</f>
        <v>Director general</v>
      </c>
    </row>
    <row r="14" spans="1:6" x14ac:dyDescent="0.2">
      <c r="A14" s="2">
        <v>13</v>
      </c>
      <c r="B14" s="3" t="str">
        <f ca="1">IFERROR(__xludf.DUMMYFUNCTION("""COMPUTED_VALUE"""),"Isabel")</f>
        <v>Isabel</v>
      </c>
      <c r="C14" s="3" t="str">
        <f ca="1">IFERROR(__xludf.DUMMYFUNCTION("""COMPUTED_VALUE"""),"Blanco")</f>
        <v>Blanco</v>
      </c>
      <c r="D14" s="2">
        <f ca="1">IFERROR(__xludf.DUMMYFUNCTION("""COMPUTED_VALUE"""),31)</f>
        <v>31</v>
      </c>
      <c r="E14" s="3" t="str">
        <f ca="1">IFERROR(__xludf.DUMMYFUNCTION("""COMPUTED_VALUE"""),"Atención al Cliente")</f>
        <v>Atención al Cliente</v>
      </c>
      <c r="F14" s="3" t="str">
        <f ca="1">IFERROR(__xludf.DUMMYFUNCTION("""COMPUTED_VALUE"""),"Soporte técnico")</f>
        <v>Soporte técnico</v>
      </c>
    </row>
    <row r="15" spans="1:6" x14ac:dyDescent="0.2">
      <c r="A15" s="3" t="str">
        <f t="shared" ref="A15:A20" si="0">IF(B15="TRUE",1+A14,"")</f>
        <v/>
      </c>
    </row>
    <row r="16" spans="1:6" x14ac:dyDescent="0.2">
      <c r="A16" s="3" t="str">
        <f t="shared" si="0"/>
        <v/>
      </c>
    </row>
    <row r="17" spans="1:1" x14ac:dyDescent="0.2">
      <c r="A17" s="3" t="str">
        <f t="shared" si="0"/>
        <v/>
      </c>
    </row>
    <row r="18" spans="1:1" x14ac:dyDescent="0.2">
      <c r="A18" s="3" t="str">
        <f t="shared" si="0"/>
        <v/>
      </c>
    </row>
    <row r="19" spans="1:1" x14ac:dyDescent="0.2">
      <c r="A19" s="3" t="str">
        <f t="shared" si="0"/>
        <v/>
      </c>
    </row>
    <row r="20" spans="1:1" x14ac:dyDescent="0.2">
      <c r="A20" s="3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Willman Acosta</cp:lastModifiedBy>
  <dcterms:modified xsi:type="dcterms:W3CDTF">2026-03-05T07:38:53Z</dcterms:modified>
</cp:coreProperties>
</file>